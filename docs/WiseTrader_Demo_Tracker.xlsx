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mo Log" sheetId="1" state="visible" r:id="rId1"/>
    <sheet xmlns:r="http://schemas.openxmlformats.org/officeDocument/2006/relationships" name="Weekly Checklis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;&quot;($&quot;#,##0.00\);\-"/>
    <numFmt numFmtId="165" formatCode="0.0%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16" min="1" max="1"/>
    <col width="12" customWidth="1" style="16" min="2" max="3"/>
    <col width="8" customWidth="1" style="16" min="4" max="4"/>
    <col width="12" customWidth="1" style="16" min="5" max="5"/>
    <col width="10" customWidth="1" style="16" min="6" max="6"/>
    <col width="12" customWidth="1" style="16" min="7" max="7"/>
    <col width="11" customWidth="1" style="16" min="8" max="8"/>
    <col width="13" customWidth="1" style="16" min="9" max="9"/>
    <col width="14" customWidth="1" style="16" min="10" max="10"/>
    <col width="30" customWidth="1" style="16" min="11" max="11"/>
  </cols>
  <sheetData>
    <row r="1" ht="17.35" customHeight="1" s="17">
      <c r="A1" s="18" t="inlineStr">
        <is>
          <t>WiseTrader v2.42 — Demo Forward-Test Log</t>
        </is>
      </c>
    </row>
    <row r="2" ht="15" customHeight="1" s="17">
      <c r="A2" s="19" t="inlineStr">
        <is>
          <t>XAUUSD demo account, A2_tuned defaults. Go-live gate: cumulative expectancy &gt;= 50% of backtest range ($3.75-$5.61) after &gt;=20 trades AND 4 calendar weeks.</t>
        </is>
      </c>
    </row>
    <row r="3" ht="15" customHeight="1" s="17">
      <c r="A3" s="19" t="inlineStr">
        <is>
          <t>Backtest reference: primary window expectancy $7.49 (PF 1.39), OOS expectancy $11.21 (PF 1.54). 50% floor = $3.75 / $5.61 respectively.</t>
        </is>
      </c>
    </row>
    <row r="5" ht="23.85" customHeight="1" s="17">
      <c r="A5" s="20" t="inlineStr">
        <is>
          <t>Week</t>
        </is>
      </c>
      <c r="B5" s="20" t="inlineStr">
        <is>
          <t>Start Date</t>
        </is>
      </c>
      <c r="C5" s="20" t="inlineStr">
        <is>
          <t>End Date</t>
        </is>
      </c>
      <c r="D5" s="20" t="inlineStr">
        <is>
          <t>Trades</t>
        </is>
      </c>
      <c r="E5" s="20" t="inlineStr">
        <is>
          <t>Net P&amp;L</t>
        </is>
      </c>
      <c r="F5" s="20" t="inlineStr">
        <is>
          <t>Win Rate</t>
        </is>
      </c>
      <c r="G5" s="20" t="inlineStr">
        <is>
          <t>Expectancy</t>
        </is>
      </c>
      <c r="H5" s="20" t="inlineStr">
        <is>
          <t>Cum. Trades</t>
        </is>
      </c>
      <c r="I5" s="20" t="inlineStr">
        <is>
          <t>Cum. Net P&amp;L</t>
        </is>
      </c>
      <c r="J5" s="20" t="inlineStr">
        <is>
          <t>Cum. Expectancy</t>
        </is>
      </c>
      <c r="K5" s="20" t="inlineStr">
        <is>
          <t>Notes</t>
        </is>
      </c>
    </row>
    <row r="6" ht="15" customHeight="1" s="17">
      <c r="A6" s="21" t="n">
        <v>1</v>
      </c>
      <c r="B6" s="21" t="n"/>
      <c r="C6" s="21" t="n"/>
      <c r="D6" s="21" t="n"/>
      <c r="E6" s="22" t="n"/>
      <c r="F6" s="23" t="n"/>
      <c r="G6" s="24">
        <f>IFERROR(E6/D6,"-")</f>
        <v/>
      </c>
      <c r="H6" s="25">
        <f>D6</f>
        <v/>
      </c>
      <c r="I6" s="24">
        <f>E6</f>
        <v/>
      </c>
      <c r="J6" s="24">
        <f>IFERROR(I6/H6,"-")</f>
        <v/>
      </c>
      <c r="K6" s="26" t="n"/>
    </row>
    <row r="7" ht="15" customHeight="1" s="17">
      <c r="A7" s="21" t="n">
        <v>2</v>
      </c>
      <c r="B7" s="21" t="n"/>
      <c r="C7" s="21" t="n"/>
      <c r="D7" s="21" t="n"/>
      <c r="E7" s="22" t="n"/>
      <c r="F7" s="23" t="n"/>
      <c r="G7" s="24">
        <f>IFERROR(E7/D7,"-")</f>
        <v/>
      </c>
      <c r="H7" s="25">
        <f>H6+D7</f>
        <v/>
      </c>
      <c r="I7" s="24">
        <f>I6+E7</f>
        <v/>
      </c>
      <c r="J7" s="24">
        <f>IFERROR(I7/H7,"-")</f>
        <v/>
      </c>
      <c r="K7" s="26" t="n"/>
    </row>
    <row r="8" ht="15" customHeight="1" s="17">
      <c r="A8" s="21" t="n">
        <v>3</v>
      </c>
      <c r="B8" s="21" t="n"/>
      <c r="C8" s="21" t="n"/>
      <c r="D8" s="21" t="n"/>
      <c r="E8" s="22" t="n"/>
      <c r="F8" s="23" t="n"/>
      <c r="G8" s="24">
        <f>IFERROR(E8/D8,"-")</f>
        <v/>
      </c>
      <c r="H8" s="25">
        <f>H7+D8</f>
        <v/>
      </c>
      <c r="I8" s="24">
        <f>I7+E8</f>
        <v/>
      </c>
      <c r="J8" s="24">
        <f>IFERROR(I8/H8,"-")</f>
        <v/>
      </c>
      <c r="K8" s="26" t="n"/>
    </row>
    <row r="9" ht="15" customHeight="1" s="17">
      <c r="A9" s="21" t="n">
        <v>4</v>
      </c>
      <c r="B9" s="21" t="n"/>
      <c r="C9" s="21" t="n"/>
      <c r="D9" s="21" t="n"/>
      <c r="E9" s="22" t="n"/>
      <c r="F9" s="23" t="n"/>
      <c r="G9" s="24">
        <f>IFERROR(E9/D9,"-")</f>
        <v/>
      </c>
      <c r="H9" s="25">
        <f>H8+D9</f>
        <v/>
      </c>
      <c r="I9" s="24">
        <f>I8+E9</f>
        <v/>
      </c>
      <c r="J9" s="24">
        <f>IFERROR(I9/H9,"-")</f>
        <v/>
      </c>
      <c r="K9" s="26" t="n"/>
    </row>
    <row r="11" ht="15" customHeight="1" s="17">
      <c r="A11" s="27" t="inlineStr">
        <is>
          <t>Gate check</t>
        </is>
      </c>
      <c r="G11" s="27" t="inlineStr">
        <is>
          <t>Cum. expectancy &gt;= $3.75?</t>
        </is>
      </c>
      <c r="H11" s="16">
        <f>IF(H9=0,"-",IF(I9/H9&gt;=3.75,"PASS","below target"))</f>
        <v/>
      </c>
    </row>
  </sheetData>
  <mergeCells count="4">
    <mergeCell ref="A3:J3"/>
    <mergeCell ref="A1:J1"/>
    <mergeCell ref="A11:F1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16" min="1" max="1"/>
    <col width="100" customWidth="1" style="16" min="2" max="2"/>
  </cols>
  <sheetData>
    <row r="1" ht="17.35" customHeight="1" s="17">
      <c r="A1" s="18" t="inlineStr">
        <is>
          <t>Weekly Demo Checklist</t>
        </is>
      </c>
    </row>
    <row r="3" ht="15" customHeight="1" s="17">
      <c r="A3" s="28" t="inlineStr">
        <is>
          <t>#</t>
        </is>
      </c>
      <c r="B3" s="28" t="inlineStr">
        <is>
          <t>Check</t>
        </is>
      </c>
    </row>
    <row r="4" ht="30" customHeight="1" s="17">
      <c r="A4" s="29" t="inlineStr">
        <is>
          <t>1</t>
        </is>
      </c>
      <c r="B4" s="30" t="inlineStr">
        <is>
          <t>Confirm EA still attached and running (not disabled/removed) - check terminal Experts tab for errors.</t>
        </is>
      </c>
    </row>
    <row r="5" ht="30" customHeight="1" s="17">
      <c r="A5" s="29" t="inlineStr">
        <is>
          <t>2</t>
        </is>
      </c>
      <c r="B5" s="30" t="inlineStr">
        <is>
          <t>Pull the demo account's trade history for the week; enter Trades / Net P&amp;L / Win Rate into the Demo Log tab.</t>
        </is>
      </c>
    </row>
    <row r="6" ht="30" customHeight="1" s="17">
      <c r="A6" s="29" t="inlineStr">
        <is>
          <t>3</t>
        </is>
      </c>
      <c r="B6" s="30" t="inlineStr">
        <is>
          <t>Check the EA journal (Common\Files\WiseTrader_&lt;sym&gt;_&lt;magic&gt;_&lt;tag&gt;.csv) for VETO/error spam - a healthy week has normal signal/veto ratios, not a wall of one error type.</t>
        </is>
      </c>
    </row>
    <row r="7" ht="30" customHeight="1" s="17">
      <c r="A7" s="29" t="inlineStr">
        <is>
          <t>4</t>
        </is>
      </c>
      <c r="B7" s="30" t="inlineStr">
        <is>
          <t>Compare this week's expectancy to the backtest range ($7.49-$11.21) - one bad week is noise, three in a row is signal.</t>
        </is>
      </c>
    </row>
    <row r="8" ht="30" customHeight="1" s="17">
      <c r="A8" s="29" t="inlineStr">
        <is>
          <t>5</t>
        </is>
      </c>
      <c r="B8" s="30" t="inlineStr">
        <is>
          <t>Confirm InpNewsFilter and Friday flatten actually fired when expected (search journal for 'FLATTEN ALL' / 'news blackout') - this is the first live test of logic that's inert in the Strategy Tester.</t>
        </is>
      </c>
    </row>
    <row r="9" ht="30" customHeight="1" s="17">
      <c r="A9" s="29" t="inlineStr">
        <is>
          <t>6</t>
        </is>
      </c>
      <c r="B9" s="30" t="inlineStr">
        <is>
          <t>No manual intervention in trades this week (demo must run untouched to be valid evidence) - note any exception.</t>
        </is>
      </c>
    </row>
    <row r="11" ht="15" customHeight="1" s="17">
      <c r="A11" s="27" t="inlineStr">
        <is>
          <t>Go-live gate (after week 4):</t>
        </is>
      </c>
    </row>
    <row r="12" ht="15" customHeight="1" s="17">
      <c r="A12" s="29" t="inlineStr">
        <is>
          <t>Cumulative expectancy &gt;= $3.75/trade (50% of primary-window backtest) over &gt;=20 demo trades.</t>
        </is>
      </c>
    </row>
    <row r="13" ht="15" customHeight="1" s="17">
      <c r="A13" s="29" t="inlineStr">
        <is>
          <t>If PASS: go live at 0.25% risk per trade for the first 20 live trades, then reassess.</t>
        </is>
      </c>
    </row>
    <row r="14" ht="15" customHeight="1" s="17">
      <c r="A14" s="29" t="inlineStr">
        <is>
          <t>If FAIL: do not extend the demo hoping it turns around - treat as a rejected gauntlet result, revisit before risking real money.</t>
        </is>
      </c>
    </row>
  </sheetData>
  <mergeCells count="4">
    <mergeCell ref="A13:B13"/>
    <mergeCell ref="A14:B14"/>
    <mergeCell ref="A1:B1"/>
    <mergeCell ref="A12:B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2026-07-17T15:10:37Z</dcterms:created>
  <dcterms:modified xmlns:dcterms="http://purl.org/dc/terms/" xmlns:xsi="http://www.w3.org/2001/XMLSchema-instance" xsi:type="dcterms:W3CDTF">2026-07-17T15:10:51Z</dcterms:modified>
  <cp:revision>0</cp:revision>
</cp:coreProperties>
</file>